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61FA0B1E-7DFE-4BA1-A4DB-0E878D42C844}" xr6:coauthVersionLast="47" xr6:coauthVersionMax="47" xr10:uidLastSave="{00000000-0000-0000-0000-000000000000}"/>
  <bookViews>
    <workbookView xWindow="5520" yWindow="-13365" windowWidth="21600" windowHeight="11295" xr2:uid="{8D1AA26D-1EB1-44B6-9ABB-10521DDCFE30}"/>
  </bookViews>
  <sheets>
    <sheet name="Data" sheetId="1" r:id="rId1"/>
    <sheet name="Type" sheetId="8" r:id="rId2"/>
    <sheet name="Name" sheetId="4" r:id="rId3"/>
    <sheet name="Rarity" sheetId="5" r:id="rId4"/>
    <sheet name="Theme" sheetId="6" r:id="rId5"/>
    <sheet name="Ability" sheetId="3" r:id="rId6"/>
    <sheet name="Status" sheetId="2" r:id="rId7"/>
    <sheet name="Race" sheetId="9" r:id="rId8"/>
    <sheet name="Koyaku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A2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T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B3" i="1" s="1"/>
  <c r="T3" i="1" l="1"/>
  <c r="B22" i="1"/>
  <c r="B21" i="1"/>
  <c r="B20" i="1"/>
  <c r="T11" i="1"/>
  <c r="B19" i="1"/>
  <c r="B18" i="1"/>
  <c r="T10" i="1"/>
  <c r="B17" i="1"/>
  <c r="B16" i="1"/>
  <c r="B15" i="1"/>
  <c r="B14" i="1"/>
  <c r="B13" i="1"/>
  <c r="B12" i="1"/>
  <c r="B11" i="1"/>
  <c r="B10" i="1"/>
  <c r="P12" i="1"/>
  <c r="B9" i="1"/>
  <c r="B8" i="1"/>
  <c r="B7" i="1"/>
  <c r="B6" i="1"/>
  <c r="B5" i="1"/>
  <c r="B2" i="1"/>
  <c r="B4" i="1"/>
  <c r="B23" i="1"/>
  <c r="T6" i="1"/>
  <c r="T5" i="1"/>
  <c r="T13" i="1"/>
  <c r="T19" i="1"/>
  <c r="T23" i="1"/>
  <c r="T12" i="1"/>
  <c r="Q12" i="1"/>
  <c r="T21" i="1"/>
  <c r="T7" i="1"/>
  <c r="T22" i="1"/>
  <c r="T4" i="1"/>
  <c r="T20" i="1"/>
  <c r="P19" i="1"/>
  <c r="Q6" i="1"/>
  <c r="T18" i="1"/>
  <c r="T17" i="1"/>
  <c r="T16" i="1"/>
  <c r="Q19" i="1"/>
  <c r="P6" i="1"/>
  <c r="Q11" i="1"/>
  <c r="Q23" i="1"/>
  <c r="T15" i="1"/>
  <c r="P23" i="1"/>
  <c r="Q16" i="1"/>
  <c r="O10" i="1"/>
  <c r="P3" i="1"/>
  <c r="T14" i="1"/>
  <c r="O23" i="1"/>
  <c r="P16" i="1"/>
  <c r="Q9" i="1"/>
  <c r="O3" i="1"/>
  <c r="O13" i="1"/>
  <c r="O6" i="1"/>
  <c r="P5" i="1"/>
  <c r="Q4" i="1"/>
  <c r="P17" i="1"/>
  <c r="Q3" i="1"/>
  <c r="Q22" i="1"/>
  <c r="O16" i="1"/>
  <c r="P9" i="1"/>
  <c r="P4" i="1"/>
  <c r="Q2" i="1"/>
  <c r="P22" i="1"/>
  <c r="Q15" i="1"/>
  <c r="O9" i="1"/>
  <c r="O2" i="1"/>
  <c r="O11" i="1"/>
  <c r="O12" i="1"/>
  <c r="O22" i="1"/>
  <c r="T9" i="1"/>
  <c r="P21" i="1"/>
  <c r="Q14" i="1"/>
  <c r="O8" i="1"/>
  <c r="P18" i="1"/>
  <c r="Q17" i="1"/>
  <c r="O4" i="1"/>
  <c r="Q8" i="1"/>
  <c r="T8" i="1"/>
  <c r="O21" i="1"/>
  <c r="P14" i="1"/>
  <c r="Q7" i="1"/>
  <c r="O19" i="1"/>
  <c r="Q18" i="1"/>
  <c r="O18" i="1"/>
  <c r="P10" i="1"/>
  <c r="Q5" i="1"/>
  <c r="O5" i="1"/>
  <c r="P11" i="1"/>
  <c r="P2" i="1"/>
  <c r="Q10" i="1"/>
  <c r="O17" i="1"/>
  <c r="P15" i="1"/>
  <c r="Q21" i="1"/>
  <c r="O15" i="1"/>
  <c r="P8" i="1"/>
  <c r="Q20" i="1"/>
  <c r="O14" i="1"/>
  <c r="P7" i="1"/>
  <c r="P20" i="1"/>
  <c r="Q13" i="1"/>
  <c r="O7" i="1"/>
  <c r="O20" i="1"/>
  <c r="P13" i="1"/>
</calcChain>
</file>

<file path=xl/sharedStrings.xml><?xml version="1.0" encoding="utf-8"?>
<sst xmlns="http://schemas.openxmlformats.org/spreadsheetml/2006/main" count="257" uniqueCount="106">
  <si>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</si>
  <si>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</si>
  <si>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</si>
  <si>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</si>
  <si>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</si>
  <si>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</si>
  <si>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</si>
  <si>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</si>
  <si>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</si>
  <si>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</si>
  <si>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</si>
  <si>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</si>
  <si>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</si>
  <si>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</si>
  <si>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</si>
  <si>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</si>
  <si>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</si>
  <si>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</si>
  <si>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</si>
  <si>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</si>
  <si>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</si>
  <si>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</si>
  <si>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</si>
  <si>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</si>
  <si>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</si>
  <si>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</si>
  <si>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</si>
  <si>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</si>
  <si>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</si>
  <si>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</si>
  <si>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</si>
  <si>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</si>
  <si>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</si>
  <si>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</si>
  <si>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</si>
  <si>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</si>
  <si>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</si>
  <si>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</si>
  <si>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</si>
  <si>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</si>
  <si>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</si>
  <si>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</si>
  <si>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</si>
  <si>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</si>
  <si>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</si>
  <si>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</si>
  <si>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</si>
  <si>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</si>
  <si>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</si>
  <si>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</si>
  <si>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</si>
  <si>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</si>
  <si>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</si>
  <si>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</si>
  <si>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</si>
  <si>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</si>
  <si>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</si>
  <si>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</si>
  <si>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</si>
  <si>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</si>
  <si>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</si>
  <si>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</si>
  <si>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</si>
  <si>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</si>
  <si>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</si>
  <si>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</si>
  <si>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</si>
  <si>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</si>
  <si>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</si>
  <si>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</si>
  <si>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</si>
  <si>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</si>
  <si>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</si>
  <si>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</si>
  <si>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</si>
  <si>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</si>
  <si>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</si>
  <si>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</si>
  <si>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</si>
  <si>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</si>
  <si>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</si>
  <si>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</si>
  <si>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</si>
  <si>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</si>
  <si>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</si>
  <si>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name</t>
    <phoneticPr fontId="2"/>
  </si>
  <si>
    <t>ability</t>
    <phoneticPr fontId="2"/>
  </si>
  <si>
    <t>Type</t>
    <phoneticPr fontId="2"/>
  </si>
  <si>
    <t>カードタイプ</t>
    <phoneticPr fontId="2"/>
  </si>
  <si>
    <t>モンスター</t>
  </si>
  <si>
    <t>モンスター</t>
    <phoneticPr fontId="2"/>
  </si>
  <si>
    <t>スペル</t>
  </si>
  <si>
    <t>スペル</t>
    <phoneticPr fontId="2"/>
  </si>
  <si>
    <t>suportRoleID</t>
    <phoneticPr fontId="2"/>
  </si>
  <si>
    <t>種族1</t>
    <rPh sb="0" eb="2">
      <t>シュゾク</t>
    </rPh>
    <phoneticPr fontId="2"/>
  </si>
  <si>
    <t>なし</t>
  </si>
  <si>
    <t>なし</t>
    <phoneticPr fontId="2"/>
  </si>
  <si>
    <t>戦士</t>
    <rPh sb="0" eb="2">
      <t>センシ</t>
    </rPh>
    <phoneticPr fontId="2"/>
  </si>
  <si>
    <t>人</t>
    <rPh sb="0" eb="1">
      <t>ヒト</t>
    </rPh>
    <phoneticPr fontId="2"/>
  </si>
  <si>
    <t>種族</t>
    <rPh sb="0" eb="2">
      <t>シュゾク</t>
    </rPh>
    <phoneticPr fontId="2"/>
  </si>
  <si>
    <t>FirstRaceID</t>
    <phoneticPr fontId="2"/>
  </si>
  <si>
    <t>種族2</t>
    <rPh sb="0" eb="2">
      <t>シュゾク</t>
    </rPh>
    <phoneticPr fontId="2"/>
  </si>
  <si>
    <t>SecondRaceID</t>
    <phoneticPr fontId="2"/>
  </si>
  <si>
    <t>種族3</t>
    <rPh sb="0" eb="2">
      <t>シュゾク</t>
    </rPh>
    <phoneticPr fontId="2"/>
  </si>
  <si>
    <t>ThildRaceID</t>
    <phoneticPr fontId="2"/>
  </si>
  <si>
    <t>CardType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</si>
</sst>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T30"/>
  <sheetViews>
    <sheetView tabSelected="1" topLeftCell="L1" workbookViewId="0">
      <selection activeCell="T10" sqref="T10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12.875" bestFit="1" customWidth="1"/>
    <col min="9" max="11" width="12.875" customWidth="1"/>
    <col min="12" max="12" width="14.375" bestFit="1" customWidth="1"/>
    <col min="13" max="14" width="14.375" customWidth="1"/>
    <col min="18" max="18" width="12.875" bestFit="1" customWidth="1"/>
    <col min="19" max="19" width="9.625" bestFit="1" customWidth="1"/>
    <col min="20" max="20" width="205.75" bestFit="1" customWidth="1"/>
  </cols>
  <sheetData>
    <row r="1" spans="1:20" x14ac:dyDescent="0.4">
      <c r="A1" s="1" t="s">
        <v>2</v>
      </c>
      <c r="B1" s="4" t="s">
        <v>85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93</v>
      </c>
      <c r="I1" s="14" t="s">
        <v>94</v>
      </c>
      <c r="J1" s="2" t="s">
        <v>100</v>
      </c>
      <c r="K1" s="14" t="s">
        <v>101</v>
      </c>
      <c r="L1" s="2" t="s">
        <v>102</v>
      </c>
      <c r="M1" s="14" t="s">
        <v>103</v>
      </c>
      <c r="N1" s="2" t="s">
        <v>104</v>
      </c>
      <c r="O1" s="2" t="s">
        <v>46</v>
      </c>
      <c r="P1" s="2" t="s">
        <v>45</v>
      </c>
      <c r="Q1" s="2" t="s">
        <v>44</v>
      </c>
      <c r="R1" s="14" t="s">
        <v>88</v>
      </c>
      <c r="S1" s="2" t="s">
        <v>105</v>
      </c>
      <c r="T1" s="2" t="s">
        <v>86</v>
      </c>
    </row>
    <row r="2" spans="1:20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_xlfn.XLOOKUP(G2,Koyaku!B$2:B$9,Koyaku!A$2:A$9,"",FALSE)</f>
        <v>5</v>
      </c>
      <c r="I2" s="3" t="s">
        <v>40</v>
      </c>
      <c r="J2" s="3">
        <f>_xlfn.XLOOKUP(I2,Race!B$2:B$5,Race!A$2:A$5,FALSE)</f>
        <v>1</v>
      </c>
      <c r="K2" s="3" t="s">
        <v>97</v>
      </c>
      <c r="L2" s="3">
        <f>_xlfn.XLOOKUP(K2,Race!B$2:B$5,Race!A$2:A$5,FALSE)</f>
        <v>2</v>
      </c>
      <c r="M2" s="3" t="s">
        <v>95</v>
      </c>
      <c r="N2" s="3">
        <f>_xlfn.XLOOKUP(M2,Race!B$2:B$5,Race!A$2:A$5,FALSE)</f>
        <v>-1</v>
      </c>
      <c r="O2" s="3">
        <f>_xlfn.XLOOKUP(A2,Status!A:A,Status!B:B,"")</f>
        <v>2</v>
      </c>
      <c r="P2" s="3">
        <f>_xlfn.XLOOKUP(A2,Status!A:A,Status!C:C,"")</f>
        <v>4</v>
      </c>
      <c r="Q2" s="3">
        <f>_xlfn.XLOOKUP(A2,Status!A:A,Status!D:D,"")</f>
        <v>11</v>
      </c>
      <c r="R2" s="3" t="s">
        <v>89</v>
      </c>
      <c r="S2" s="3">
        <f>_xlfn.XLOOKUP(R2,Type!$B$2:$B$20,Type!$A$2:$A$20,"")</f>
        <v>0</v>
      </c>
      <c r="T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20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-1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_xlfn.XLOOKUP(G3,Koyaku!B$2:B$9,Koyaku!A$2:A$9,"",FALSE)</f>
        <v>5</v>
      </c>
      <c r="I3" s="3" t="s">
        <v>40</v>
      </c>
      <c r="J3" s="3">
        <f>_xlfn.XLOOKUP(I3,Race!B$2:B$5,Race!A$2:A$5,FALSE)</f>
        <v>1</v>
      </c>
      <c r="K3" s="3" t="s">
        <v>97</v>
      </c>
      <c r="L3" s="3">
        <f>_xlfn.XLOOKUP(K3,Race!B$2:B$5,Race!A$2:A$5,FALSE)</f>
        <v>2</v>
      </c>
      <c r="M3" s="3" t="s">
        <v>95</v>
      </c>
      <c r="N3" s="3">
        <f>_xlfn.XLOOKUP(M3,Race!B$2:B$5,Race!A$2:A$5,FALSE)</f>
        <v>-1</v>
      </c>
      <c r="O3" s="3">
        <f>_xlfn.XLOOKUP(A3,Status!A:A,Status!B:B,"")</f>
        <v>2</v>
      </c>
      <c r="P3" s="3">
        <f>_xlfn.XLOOKUP(A3,Status!A:A,Status!C:C,"")</f>
        <v>6</v>
      </c>
      <c r="Q3" s="3">
        <f>_xlfn.XLOOKUP(A3,Status!A:A,Status!D:D,"")</f>
        <v>14</v>
      </c>
      <c r="R3" s="3" t="s">
        <v>89</v>
      </c>
      <c r="S3" s="3">
        <f>_xlfn.XLOOKUP(R3,Type!$B$2:$B$20,Type!$A$2:$A$20,"")</f>
        <v>0</v>
      </c>
      <c r="T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20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-1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_xlfn.XLOOKUP(G4,Koyaku!B$2:B$9,Koyaku!A$2:A$9,"",FALSE)</f>
        <v>5</v>
      </c>
      <c r="I4" s="3" t="s">
        <v>40</v>
      </c>
      <c r="J4" s="3">
        <f>_xlfn.XLOOKUP(I4,Race!B$2:B$5,Race!A$2:A$5,FALSE)</f>
        <v>1</v>
      </c>
      <c r="K4" s="3" t="s">
        <v>97</v>
      </c>
      <c r="L4" s="3">
        <f>_xlfn.XLOOKUP(K4,Race!B$2:B$5,Race!A$2:A$5,FALSE)</f>
        <v>2</v>
      </c>
      <c r="M4" s="3" t="s">
        <v>95</v>
      </c>
      <c r="N4" s="3">
        <f>_xlfn.XLOOKUP(M4,Race!B$2:B$5,Race!A$2:A$5,FALSE)</f>
        <v>-1</v>
      </c>
      <c r="O4" s="3">
        <f>_xlfn.XLOOKUP(A4,Status!A:A,Status!B:B,"")</f>
        <v>2</v>
      </c>
      <c r="P4" s="3">
        <f>_xlfn.XLOOKUP(A4,Status!A:A,Status!C:C,"")</f>
        <v>8</v>
      </c>
      <c r="Q4" s="3">
        <f>_xlfn.XLOOKUP(A4,Status!A:A,Status!D:D,"")</f>
        <v>17</v>
      </c>
      <c r="R4" s="3" t="s">
        <v>89</v>
      </c>
      <c r="S4" s="3">
        <f>_xlfn.XLOOKUP(R4,Type!$B$2:$B$20,Type!$A$2:$A$20,"")</f>
        <v>0</v>
      </c>
      <c r="T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20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_xlfn.XLOOKUP(G5,Koyaku!B$2:B$9,Koyaku!A$2:A$9,"",FALSE)</f>
        <v>3</v>
      </c>
      <c r="I5" s="3" t="s">
        <v>40</v>
      </c>
      <c r="J5" s="3">
        <f>_xlfn.XLOOKUP(I5,Race!B$2:B$5,Race!A$2:A$5,FALSE)</f>
        <v>1</v>
      </c>
      <c r="K5" s="3" t="s">
        <v>97</v>
      </c>
      <c r="L5" s="3">
        <f>_xlfn.XLOOKUP(K5,Race!B$2:B$5,Race!A$2:A$5,FALSE)</f>
        <v>2</v>
      </c>
      <c r="M5" s="3" t="s">
        <v>95</v>
      </c>
      <c r="N5" s="3">
        <f>_xlfn.XLOOKUP(M5,Race!B$2:B$5,Race!A$2:A$5,FALSE)</f>
        <v>-1</v>
      </c>
      <c r="O5" s="3">
        <f>_xlfn.XLOOKUP(A5,Status!A:A,Status!B:B,"")</f>
        <v>2</v>
      </c>
      <c r="P5" s="3">
        <f>_xlfn.XLOOKUP(A5,Status!A:A,Status!C:C,"")</f>
        <v>5</v>
      </c>
      <c r="Q5" s="3">
        <f>_xlfn.XLOOKUP(A5,Status!A:A,Status!D:D,"")</f>
        <v>10</v>
      </c>
      <c r="R5" s="3" t="s">
        <v>89</v>
      </c>
      <c r="S5" s="3">
        <f>_xlfn.XLOOKUP(R5,Type!$B$2:$B$20,Type!$A$2:$A$20,"")</f>
        <v>0</v>
      </c>
      <c r="T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20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-1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_xlfn.XLOOKUP(G6,Koyaku!B$2:B$9,Koyaku!A$2:A$9,"",FALSE)</f>
        <v>3</v>
      </c>
      <c r="I6" s="3" t="s">
        <v>40</v>
      </c>
      <c r="J6" s="3">
        <f>_xlfn.XLOOKUP(I6,Race!B$2:B$5,Race!A$2:A$5,FALSE)</f>
        <v>1</v>
      </c>
      <c r="K6" s="3" t="s">
        <v>97</v>
      </c>
      <c r="L6" s="3">
        <f>_xlfn.XLOOKUP(K6,Race!B$2:B$5,Race!A$2:A$5,FALSE)</f>
        <v>2</v>
      </c>
      <c r="M6" s="3" t="s">
        <v>95</v>
      </c>
      <c r="N6" s="3">
        <f>_xlfn.XLOOKUP(M6,Race!B$2:B$5,Race!A$2:A$5,FALSE)</f>
        <v>-1</v>
      </c>
      <c r="O6" s="3">
        <f>_xlfn.XLOOKUP(A6,Status!A:A,Status!B:B,"")</f>
        <v>2</v>
      </c>
      <c r="P6" s="3">
        <f>_xlfn.XLOOKUP(A6,Status!A:A,Status!C:C,"")</f>
        <v>8</v>
      </c>
      <c r="Q6" s="3">
        <f>_xlfn.XLOOKUP(A6,Status!A:A,Status!D:D,"")</f>
        <v>12</v>
      </c>
      <c r="R6" s="3" t="s">
        <v>89</v>
      </c>
      <c r="S6" s="3">
        <f>_xlfn.XLOOKUP(R6,Type!$B$2:$B$20,Type!$A$2:$A$20,"")</f>
        <v>0</v>
      </c>
      <c r="T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20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-1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_xlfn.XLOOKUP(G7,Koyaku!B$2:B$9,Koyaku!A$2:A$9,"",FALSE)</f>
        <v>3</v>
      </c>
      <c r="I7" s="3" t="s">
        <v>40</v>
      </c>
      <c r="J7" s="3">
        <f>_xlfn.XLOOKUP(I7,Race!B$2:B$5,Race!A$2:A$5,FALSE)</f>
        <v>1</v>
      </c>
      <c r="K7" s="3" t="s">
        <v>97</v>
      </c>
      <c r="L7" s="3">
        <f>_xlfn.XLOOKUP(K7,Race!B$2:B$5,Race!A$2:A$5,FALSE)</f>
        <v>2</v>
      </c>
      <c r="M7" s="3" t="s">
        <v>95</v>
      </c>
      <c r="N7" s="3">
        <f>_xlfn.XLOOKUP(M7,Race!B$2:B$5,Race!A$2:A$5,FALSE)</f>
        <v>-1</v>
      </c>
      <c r="O7" s="3">
        <f>_xlfn.XLOOKUP(A7,Status!A:A,Status!B:B,"")</f>
        <v>2</v>
      </c>
      <c r="P7" s="3">
        <f>_xlfn.XLOOKUP(A7,Status!A:A,Status!C:C,"")</f>
        <v>10</v>
      </c>
      <c r="Q7" s="3">
        <f>_xlfn.XLOOKUP(A7,Status!A:A,Status!D:D,"")</f>
        <v>15</v>
      </c>
      <c r="R7" s="3" t="s">
        <v>89</v>
      </c>
      <c r="S7" s="3">
        <f>_xlfn.XLOOKUP(R7,Type!$B$2:$B$20,Type!$A$2:$A$20,"")</f>
        <v>0</v>
      </c>
      <c r="T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20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_xlfn.XLOOKUP(G8,Koyaku!B$2:B$9,Koyaku!A$2:A$9,"",FALSE)</f>
        <v>4</v>
      </c>
      <c r="I8" s="3" t="s">
        <v>40</v>
      </c>
      <c r="J8" s="3">
        <f>_xlfn.XLOOKUP(I8,Race!B$2:B$5,Race!A$2:A$5,FALSE)</f>
        <v>1</v>
      </c>
      <c r="K8" s="3" t="s">
        <v>97</v>
      </c>
      <c r="L8" s="3">
        <f>_xlfn.XLOOKUP(K8,Race!B$2:B$5,Race!A$2:A$5,FALSE)</f>
        <v>2</v>
      </c>
      <c r="M8" s="3" t="s">
        <v>95</v>
      </c>
      <c r="N8" s="3">
        <f>_xlfn.XLOOKUP(M8,Race!B$2:B$5,Race!A$2:A$5,FALSE)</f>
        <v>-1</v>
      </c>
      <c r="O8" s="3">
        <f>_xlfn.XLOOKUP(A8,Status!A:A,Status!B:B,"")</f>
        <v>2</v>
      </c>
      <c r="P8" s="3">
        <f>_xlfn.XLOOKUP(A8,Status!A:A,Status!C:C,"")</f>
        <v>2</v>
      </c>
      <c r="Q8" s="3">
        <f>_xlfn.XLOOKUP(A8,Status!A:A,Status!D:D,"")</f>
        <v>4</v>
      </c>
      <c r="R8" s="3" t="s">
        <v>89</v>
      </c>
      <c r="S8" s="3">
        <f>_xlfn.XLOOKUP(R8,Type!$B$2:$B$20,Type!$A$2:$A$20,"")</f>
        <v>0</v>
      </c>
      <c r="T8" s="3" t="str">
        <f>_xlfn.XLOOKUP(A8,Ability!A:A,Ability!B:B,"")</f>
        <v>①ターゲット集中</v>
      </c>
    </row>
    <row r="9" spans="1:20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_xlfn.XLOOKUP(G9,Koyaku!B$2:B$9,Koyaku!A$2:A$9,"",FALSE)</f>
        <v>2</v>
      </c>
      <c r="I9" s="3" t="s">
        <v>40</v>
      </c>
      <c r="J9" s="3">
        <f>_xlfn.XLOOKUP(I9,Race!B$2:B$5,Race!A$2:A$5,FALSE)</f>
        <v>1</v>
      </c>
      <c r="K9" s="3" t="s">
        <v>97</v>
      </c>
      <c r="L9" s="3">
        <f>_xlfn.XLOOKUP(K9,Race!B$2:B$5,Race!A$2:A$5,FALSE)</f>
        <v>2</v>
      </c>
      <c r="M9" s="3" t="s">
        <v>95</v>
      </c>
      <c r="N9" s="3">
        <f>_xlfn.XLOOKUP(M9,Race!B$2:B$5,Race!A$2:A$5,FALSE)</f>
        <v>-1</v>
      </c>
      <c r="O9" s="3">
        <f>_xlfn.XLOOKUP(A9,Status!A:A,Status!B:B,"")</f>
        <v>2</v>
      </c>
      <c r="P9" s="3">
        <f>_xlfn.XLOOKUP(A9,Status!A:A,Status!C:C,"")</f>
        <v>6</v>
      </c>
      <c r="Q9" s="3">
        <f>_xlfn.XLOOKUP(A9,Status!A:A,Status!D:D,"")</f>
        <v>10</v>
      </c>
      <c r="R9" s="3" t="s">
        <v>89</v>
      </c>
      <c r="S9" s="3">
        <f>_xlfn.XLOOKUP(R9,Type!$B$2:$B$20,Type!$A$2:$A$20,"")</f>
        <v>0</v>
      </c>
      <c r="T9" s="3" t="str">
        <f>_xlfn.XLOOKUP(A9,Ability!A:A,Ability!B:B,"")</f>
        <v>①召喚時ランダムな敵に2ダメージ
②アスリート</v>
      </c>
    </row>
    <row r="10" spans="1:20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_xlfn.XLOOKUP(G10,Koyaku!B$2:B$9,Koyaku!A$2:A$9,"",FALSE)</f>
        <v>1</v>
      </c>
      <c r="I10" s="3" t="s">
        <v>40</v>
      </c>
      <c r="J10" s="3">
        <f>_xlfn.XLOOKUP(I10,Race!B$2:B$5,Race!A$2:A$5,FALSE)</f>
        <v>1</v>
      </c>
      <c r="K10" s="3" t="s">
        <v>97</v>
      </c>
      <c r="L10" s="3">
        <f>_xlfn.XLOOKUP(K10,Race!B$2:B$5,Race!A$2:A$5,FALSE)</f>
        <v>2</v>
      </c>
      <c r="M10" s="3" t="s">
        <v>95</v>
      </c>
      <c r="N10" s="3">
        <f>_xlfn.XLOOKUP(M10,Race!B$2:B$5,Race!A$2:A$5,FALSE)</f>
        <v>-1</v>
      </c>
      <c r="O10" s="3">
        <f>_xlfn.XLOOKUP(A10,Status!A:A,Status!B:B,"")</f>
        <v>2</v>
      </c>
      <c r="P10" s="3">
        <f>_xlfn.XLOOKUP(A10,Status!A:A,Status!C:C,"")</f>
        <v>4</v>
      </c>
      <c r="Q10" s="3">
        <f>_xlfn.XLOOKUP(A10,Status!A:A,Status!D:D,"")</f>
        <v>10</v>
      </c>
      <c r="R10" s="3" t="s">
        <v>89</v>
      </c>
      <c r="S10" s="3">
        <f>_xlfn.XLOOKUP(R10,Type!$B$2:$B$20,Type!$A$2:$A$20,"")</f>
        <v>0</v>
      </c>
      <c r="T10" s="3" t="str">
        <f>_xlfn.XLOOKUP(A10,Ability!A:A,Ability!B:B,"")</f>
        <v>①ターン終了時、カードを1枚引く。</v>
      </c>
    </row>
    <row r="11" spans="1:20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_xlfn.XLOOKUP(G11,Koyaku!B$2:B$9,Koyaku!A$2:A$9,"",FALSE)</f>
        <v>1</v>
      </c>
      <c r="I11" s="3" t="s">
        <v>40</v>
      </c>
      <c r="J11" s="3">
        <f>_xlfn.XLOOKUP(I11,Race!B$2:B$5,Race!A$2:A$5,FALSE)</f>
        <v>1</v>
      </c>
      <c r="K11" s="3" t="s">
        <v>98</v>
      </c>
      <c r="L11" s="3">
        <f>_xlfn.XLOOKUP(K11,Race!B$2:B$5,Race!A$2:A$5,FALSE)</f>
        <v>3</v>
      </c>
      <c r="M11" s="3" t="s">
        <v>95</v>
      </c>
      <c r="N11" s="3">
        <f>_xlfn.XLOOKUP(M11,Race!B$2:B$5,Race!A$2:A$5,FALSE)</f>
        <v>-1</v>
      </c>
      <c r="O11" s="3">
        <f>_xlfn.XLOOKUP(A11,Status!A:A,Status!B:B,"")</f>
        <v>1</v>
      </c>
      <c r="P11" s="3">
        <f>_xlfn.XLOOKUP(A11,Status!A:A,Status!C:C,"")</f>
        <v>3</v>
      </c>
      <c r="Q11" s="3">
        <f>_xlfn.XLOOKUP(A11,Status!A:A,Status!D:D,"")</f>
        <v>8</v>
      </c>
      <c r="R11" s="3" t="s">
        <v>89</v>
      </c>
      <c r="S11" s="3">
        <f>_xlfn.XLOOKUP(R11,Type!$B$2:$B$20,Type!$A$2:$A$20,"")</f>
        <v>0</v>
      </c>
      <c r="T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20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-1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_xlfn.XLOOKUP(G12,Koyaku!B$2:B$9,Koyaku!A$2:A$9,"",FALSE)</f>
        <v>7</v>
      </c>
      <c r="I12" s="3" t="s">
        <v>40</v>
      </c>
      <c r="J12" s="3">
        <f>_xlfn.XLOOKUP(I12,Race!B$2:B$5,Race!A$2:A$5,FALSE)</f>
        <v>1</v>
      </c>
      <c r="K12" s="3" t="s">
        <v>97</v>
      </c>
      <c r="L12" s="3">
        <f>_xlfn.XLOOKUP(K12,Race!B$2:B$5,Race!A$2:A$5,FALSE)</f>
        <v>2</v>
      </c>
      <c r="M12" s="3" t="s">
        <v>95</v>
      </c>
      <c r="N12" s="3">
        <f>_xlfn.XLOOKUP(M12,Race!B$2:B$5,Race!A$2:A$5,FALSE)</f>
        <v>-1</v>
      </c>
      <c r="O12" s="3">
        <f>_xlfn.XLOOKUP(A12,Status!A:A,Status!B:B,"")</f>
        <v>4</v>
      </c>
      <c r="P12" s="3">
        <f>_xlfn.XLOOKUP(A12,Status!A:A,Status!C:C,"")</f>
        <v>10</v>
      </c>
      <c r="Q12" s="3">
        <f>_xlfn.XLOOKUP(A12,Status!A:A,Status!D:D,"")</f>
        <v>30</v>
      </c>
      <c r="R12" s="3" t="s">
        <v>89</v>
      </c>
      <c r="S12" s="3">
        <f>_xlfn.XLOOKUP(R12,Type!$B$2:$B$20,Type!$A$2:$A$20,"")</f>
        <v>0</v>
      </c>
      <c r="T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20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-1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_xlfn.XLOOKUP(G13,Koyaku!B$2:B$9,Koyaku!A$2:A$9,"",FALSE)</f>
        <v>6</v>
      </c>
      <c r="I13" s="3" t="s">
        <v>40</v>
      </c>
      <c r="J13" s="3">
        <f>_xlfn.XLOOKUP(I13,Race!B$2:B$5,Race!A$2:A$5,FALSE)</f>
        <v>1</v>
      </c>
      <c r="K13" s="3" t="s">
        <v>97</v>
      </c>
      <c r="L13" s="3">
        <f>_xlfn.XLOOKUP(K13,Race!B$2:B$5,Race!A$2:A$5,FALSE)</f>
        <v>2</v>
      </c>
      <c r="M13" s="3" t="s">
        <v>95</v>
      </c>
      <c r="N13" s="3">
        <f>_xlfn.XLOOKUP(M13,Race!B$2:B$5,Race!A$2:A$5,FALSE)</f>
        <v>-1</v>
      </c>
      <c r="O13" s="3">
        <f>_xlfn.XLOOKUP(A13,Status!A:A,Status!B:B,"")</f>
        <v>6</v>
      </c>
      <c r="P13" s="3">
        <f>_xlfn.XLOOKUP(A13,Status!A:A,Status!C:C,"")</f>
        <v>20</v>
      </c>
      <c r="Q13" s="3">
        <f>_xlfn.XLOOKUP(A13,Status!A:A,Status!D:D,"")</f>
        <v>0</v>
      </c>
      <c r="R13" s="3" t="s">
        <v>89</v>
      </c>
      <c r="S13" s="3">
        <f>_xlfn.XLOOKUP(R13,Type!$B$2:$B$20,Type!$A$2:$A$20,"")</f>
        <v>0</v>
      </c>
      <c r="T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20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_xlfn.XLOOKUP(G14,Koyaku!B$2:B$9,Koyaku!A$2:A$9,"",FALSE)</f>
        <v>0</v>
      </c>
      <c r="I14" s="3" t="s">
        <v>40</v>
      </c>
      <c r="J14" s="3">
        <f>_xlfn.XLOOKUP(I14,Race!B$2:B$5,Race!A$2:A$5,FALSE)</f>
        <v>1</v>
      </c>
      <c r="K14" s="3" t="s">
        <v>95</v>
      </c>
      <c r="L14" s="3">
        <f>_xlfn.XLOOKUP(K14,Race!B$2:B$5,Race!A$2:A$5,FALSE)</f>
        <v>-1</v>
      </c>
      <c r="M14" s="3" t="s">
        <v>95</v>
      </c>
      <c r="N14" s="3">
        <f>_xlfn.XLOOKUP(M14,Race!B$2:B$5,Race!A$2:A$5,FALSE)</f>
        <v>-1</v>
      </c>
      <c r="O14" s="3">
        <f>_xlfn.XLOOKUP(A14,Status!A:A,Status!B:B,"")</f>
        <v>-1</v>
      </c>
      <c r="P14" s="3">
        <f>_xlfn.XLOOKUP(A14,Status!A:A,Status!C:C,"")</f>
        <v>-1</v>
      </c>
      <c r="Q14" s="3">
        <f>_xlfn.XLOOKUP(A14,Status!A:A,Status!D:D,"")</f>
        <v>-1</v>
      </c>
      <c r="R14" s="3" t="s">
        <v>91</v>
      </c>
      <c r="S14" s="3">
        <f>_xlfn.XLOOKUP(R14,Type!$B$2:$B$20,Type!$A$2:$A$20,"")</f>
        <v>1</v>
      </c>
      <c r="T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20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_xlfn.XLOOKUP(G15,Koyaku!B$2:B$9,Koyaku!A$2:A$9,"",FALSE)</f>
        <v>0</v>
      </c>
      <c r="I15" s="3" t="s">
        <v>40</v>
      </c>
      <c r="J15" s="3">
        <f>_xlfn.XLOOKUP(I15,Race!B$2:B$5,Race!A$2:A$5,FALSE)</f>
        <v>1</v>
      </c>
      <c r="K15" s="3" t="s">
        <v>95</v>
      </c>
      <c r="L15" s="3">
        <f>_xlfn.XLOOKUP(K15,Race!B$2:B$5,Race!A$2:A$5,FALSE)</f>
        <v>-1</v>
      </c>
      <c r="M15" s="3" t="s">
        <v>95</v>
      </c>
      <c r="N15" s="3">
        <f>_xlfn.XLOOKUP(M15,Race!B$2:B$5,Race!A$2:A$5,FALSE)</f>
        <v>-1</v>
      </c>
      <c r="O15" s="3">
        <f>_xlfn.XLOOKUP(A15,Status!A:A,Status!B:B,"")</f>
        <v>-1</v>
      </c>
      <c r="P15" s="3">
        <f>_xlfn.XLOOKUP(A15,Status!A:A,Status!C:C,"")</f>
        <v>-1</v>
      </c>
      <c r="Q15" s="3">
        <f>_xlfn.XLOOKUP(A15,Status!A:A,Status!D:D,"")</f>
        <v>-1</v>
      </c>
      <c r="R15" s="3" t="s">
        <v>91</v>
      </c>
      <c r="S15" s="3">
        <f>_xlfn.XLOOKUP(R15,Type!$B$2:$B$20,Type!$A$2:$A$20,"")</f>
        <v>1</v>
      </c>
      <c r="T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20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_xlfn.XLOOKUP(G16,Koyaku!B$2:B$9,Koyaku!A$2:A$9,"",FALSE)</f>
        <v>0</v>
      </c>
      <c r="I16" s="3" t="s">
        <v>40</v>
      </c>
      <c r="J16" s="3">
        <f>_xlfn.XLOOKUP(I16,Race!B$2:B$5,Race!A$2:A$5,FALSE)</f>
        <v>1</v>
      </c>
      <c r="K16" s="3" t="s">
        <v>95</v>
      </c>
      <c r="L16" s="3">
        <f>_xlfn.XLOOKUP(K16,Race!B$2:B$5,Race!A$2:A$5,FALSE)</f>
        <v>-1</v>
      </c>
      <c r="M16" s="3" t="s">
        <v>95</v>
      </c>
      <c r="N16" s="3">
        <f>_xlfn.XLOOKUP(M16,Race!B$2:B$5,Race!A$2:A$5,FALSE)</f>
        <v>-1</v>
      </c>
      <c r="O16" s="3">
        <f>_xlfn.XLOOKUP(A16,Status!A:A,Status!B:B,"")</f>
        <v>-1</v>
      </c>
      <c r="P16" s="3">
        <f>_xlfn.XLOOKUP(A16,Status!A:A,Status!C:C,"")</f>
        <v>-1</v>
      </c>
      <c r="Q16" s="3">
        <f>_xlfn.XLOOKUP(A16,Status!A:A,Status!D:D,"")</f>
        <v>-1</v>
      </c>
      <c r="R16" s="3" t="s">
        <v>91</v>
      </c>
      <c r="S16" s="3">
        <f>_xlfn.XLOOKUP(R16,Type!$B$2:$B$20,Type!$A$2:$A$20,"")</f>
        <v>1</v>
      </c>
      <c r="T16" s="3" t="str">
        <f>_xlfn.XLOOKUP(A16,Ability!A:A,Ability!B:B,"")</f>
        <v>次の自分のターンまでモンスター1体に「ターゲット集中」を与える。</v>
      </c>
    </row>
    <row r="17" spans="1:20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_xlfn.XLOOKUP(G17,Koyaku!B$2:B$9,Koyaku!A$2:A$9,"",FALSE)</f>
        <v>0</v>
      </c>
      <c r="I17" s="3" t="s">
        <v>40</v>
      </c>
      <c r="J17" s="3">
        <f>_xlfn.XLOOKUP(I17,Race!B$2:B$5,Race!A$2:A$5,FALSE)</f>
        <v>1</v>
      </c>
      <c r="K17" s="3" t="s">
        <v>95</v>
      </c>
      <c r="L17" s="3">
        <f>_xlfn.XLOOKUP(K17,Race!B$2:B$5,Race!A$2:A$5,FALSE)</f>
        <v>-1</v>
      </c>
      <c r="M17" s="3" t="s">
        <v>95</v>
      </c>
      <c r="N17" s="3">
        <f>_xlfn.XLOOKUP(M17,Race!B$2:B$5,Race!A$2:A$5,FALSE)</f>
        <v>-1</v>
      </c>
      <c r="O17" s="3">
        <f>_xlfn.XLOOKUP(A17,Status!A:A,Status!B:B,"")</f>
        <v>-1</v>
      </c>
      <c r="P17" s="3">
        <f>_xlfn.XLOOKUP(A17,Status!A:A,Status!C:C,"")</f>
        <v>-1</v>
      </c>
      <c r="Q17" s="3">
        <f>_xlfn.XLOOKUP(A17,Status!A:A,Status!D:D,"")</f>
        <v>-1</v>
      </c>
      <c r="R17" s="3" t="s">
        <v>91</v>
      </c>
      <c r="S17" s="3">
        <f>_xlfn.XLOOKUP(R17,Type!$B$2:$B$20,Type!$A$2:$A$20,"")</f>
        <v>1</v>
      </c>
      <c r="T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20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_xlfn.XLOOKUP(G18,Koyaku!B$2:B$9,Koyaku!A$2:A$9,"",FALSE)</f>
        <v>0</v>
      </c>
      <c r="I18" s="3" t="s">
        <v>40</v>
      </c>
      <c r="J18" s="3">
        <f>_xlfn.XLOOKUP(I18,Race!B$2:B$5,Race!A$2:A$5,FALSE)</f>
        <v>1</v>
      </c>
      <c r="K18" s="3" t="s">
        <v>98</v>
      </c>
      <c r="L18" s="3">
        <f>_xlfn.XLOOKUP(K18,Race!B$2:B$5,Race!A$2:A$5,FALSE)</f>
        <v>3</v>
      </c>
      <c r="M18" s="3" t="s">
        <v>95</v>
      </c>
      <c r="N18" s="3">
        <f>_xlfn.XLOOKUP(M18,Race!B$2:B$5,Race!A$2:A$5,FALSE)</f>
        <v>-1</v>
      </c>
      <c r="O18" s="3">
        <f>_xlfn.XLOOKUP(A18,Status!A:A,Status!B:B,"")</f>
        <v>-1</v>
      </c>
      <c r="P18" s="3">
        <f>_xlfn.XLOOKUP(A18,Status!A:A,Status!C:C,"")</f>
        <v>-1</v>
      </c>
      <c r="Q18" s="3">
        <f>_xlfn.XLOOKUP(A18,Status!A:A,Status!D:D,"")</f>
        <v>-1</v>
      </c>
      <c r="R18" s="3" t="s">
        <v>91</v>
      </c>
      <c r="S18" s="3">
        <f>_xlfn.XLOOKUP(R18,Type!$B$2:$B$20,Type!$A$2:$A$20,"")</f>
        <v>1</v>
      </c>
      <c r="T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20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_xlfn.XLOOKUP(G19,Koyaku!B$2:B$9,Koyaku!A$2:A$9,"",FALSE)</f>
        <v>0</v>
      </c>
      <c r="I19" s="3" t="s">
        <v>40</v>
      </c>
      <c r="J19" s="3">
        <f>_xlfn.XLOOKUP(I19,Race!B$2:B$5,Race!A$2:A$5,FALSE)</f>
        <v>1</v>
      </c>
      <c r="K19" s="3" t="s">
        <v>98</v>
      </c>
      <c r="L19" s="3">
        <f>_xlfn.XLOOKUP(K19,Race!B$2:B$5,Race!A$2:A$5,FALSE)</f>
        <v>3</v>
      </c>
      <c r="M19" s="3" t="s">
        <v>95</v>
      </c>
      <c r="N19" s="3">
        <f>_xlfn.XLOOKUP(M19,Race!B$2:B$5,Race!A$2:A$5,FALSE)</f>
        <v>-1</v>
      </c>
      <c r="O19" s="3">
        <f>_xlfn.XLOOKUP(A19,Status!A:A,Status!B:B,"")</f>
        <v>-1</v>
      </c>
      <c r="P19" s="3">
        <f>_xlfn.XLOOKUP(A19,Status!A:A,Status!C:C,"")</f>
        <v>-1</v>
      </c>
      <c r="Q19" s="3">
        <f>_xlfn.XLOOKUP(A19,Status!A:A,Status!D:D,"")</f>
        <v>-1</v>
      </c>
      <c r="R19" s="3" t="s">
        <v>91</v>
      </c>
      <c r="S19" s="3">
        <f>_xlfn.XLOOKUP(R19,Type!$B$2:$B$20,Type!$A$2:$A$20,"")</f>
        <v>1</v>
      </c>
      <c r="T19" s="3" t="str">
        <f>_xlfn.XLOOKUP(A19,Ability!A:A,Ability!B:B,"")</f>
        <v>「RG」を名称に含むモンスターのレベルを上げる。</v>
      </c>
    </row>
    <row r="20" spans="1:20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_xlfn.XLOOKUP(G20,Koyaku!B$2:B$9,Koyaku!A$2:A$9,"",FALSE)</f>
        <v>0</v>
      </c>
      <c r="I20" s="3" t="s">
        <v>40</v>
      </c>
      <c r="J20" s="3">
        <f>_xlfn.XLOOKUP(I20,Race!B$2:B$5,Race!A$2:A$5,FALSE)</f>
        <v>1</v>
      </c>
      <c r="K20" s="3" t="s">
        <v>98</v>
      </c>
      <c r="L20" s="3">
        <f>_xlfn.XLOOKUP(K20,Race!B$2:B$5,Race!A$2:A$5,FALSE)</f>
        <v>3</v>
      </c>
      <c r="M20" s="3" t="s">
        <v>95</v>
      </c>
      <c r="N20" s="3">
        <f>_xlfn.XLOOKUP(M20,Race!B$2:B$5,Race!A$2:A$5,FALSE)</f>
        <v>-1</v>
      </c>
      <c r="O20" s="3">
        <f>_xlfn.XLOOKUP(A20,Status!A:A,Status!B:B,"")</f>
        <v>-1</v>
      </c>
      <c r="P20" s="3">
        <f>_xlfn.XLOOKUP(A20,Status!A:A,Status!C:C,"")</f>
        <v>-1</v>
      </c>
      <c r="Q20" s="3">
        <f>_xlfn.XLOOKUP(A20,Status!A:A,Status!D:D,"")</f>
        <v>-1</v>
      </c>
      <c r="R20" s="3" t="s">
        <v>91</v>
      </c>
      <c r="S20" s="3">
        <f>_xlfn.XLOOKUP(R20,Type!$B$2:$B$20,Type!$A$2:$A$20,"")</f>
        <v>1</v>
      </c>
      <c r="T20" s="3" t="str">
        <f>_xlfn.XLOOKUP(A20,Ability!A:A,Ability!B:B,"")</f>
        <v>自分のモンスターを1体選ぶ。そのモンスターは次の自分のターンまで、受けるダメージを-2する。</v>
      </c>
    </row>
    <row r="21" spans="1:20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_xlfn.XLOOKUP(G21,Koyaku!B$2:B$9,Koyaku!A$2:A$9,"",FALSE)</f>
        <v>0</v>
      </c>
      <c r="I21" s="3" t="s">
        <v>40</v>
      </c>
      <c r="J21" s="3">
        <f>_xlfn.XLOOKUP(I21,Race!B$2:B$5,Race!A$2:A$5,FALSE)</f>
        <v>1</v>
      </c>
      <c r="K21" s="3" t="s">
        <v>98</v>
      </c>
      <c r="L21" s="3">
        <f>_xlfn.XLOOKUP(K21,Race!B$2:B$5,Race!A$2:A$5,FALSE)</f>
        <v>3</v>
      </c>
      <c r="M21" s="3" t="s">
        <v>95</v>
      </c>
      <c r="N21" s="3">
        <f>_xlfn.XLOOKUP(M21,Race!B$2:B$5,Race!A$2:A$5,FALSE)</f>
        <v>-1</v>
      </c>
      <c r="O21" s="3">
        <f>_xlfn.XLOOKUP(A21,Status!A:A,Status!B:B,"")</f>
        <v>-1</v>
      </c>
      <c r="P21" s="3">
        <f>_xlfn.XLOOKUP(A21,Status!A:A,Status!C:C,"")</f>
        <v>-1</v>
      </c>
      <c r="Q21" s="3">
        <f>_xlfn.XLOOKUP(A21,Status!A:A,Status!D:D,"")</f>
        <v>-1</v>
      </c>
      <c r="R21" s="3" t="s">
        <v>91</v>
      </c>
      <c r="S21" s="3">
        <f>_xlfn.XLOOKUP(R21,Type!$B$2:$B$20,Type!$A$2:$A$20,"")</f>
        <v>1</v>
      </c>
      <c r="T21" s="3" t="str">
        <f>_xlfn.XLOOKUP(A21,Ability!A:A,Ability!B:B,"")</f>
        <v>墓地からatk4以下のモンスターを出す</v>
      </c>
    </row>
    <row r="22" spans="1:20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_xlfn.XLOOKUP(G22,Koyaku!B$2:B$9,Koyaku!A$2:A$9,"",FALSE)</f>
        <v>0</v>
      </c>
      <c r="I22" s="3" t="s">
        <v>40</v>
      </c>
      <c r="J22" s="3">
        <f>_xlfn.XLOOKUP(I22,Race!B$2:B$5,Race!A$2:A$5,FALSE)</f>
        <v>1</v>
      </c>
      <c r="K22" s="3" t="s">
        <v>95</v>
      </c>
      <c r="L22" s="3">
        <f>_xlfn.XLOOKUP(K22,Race!B$2:B$5,Race!A$2:A$5,FALSE)</f>
        <v>-1</v>
      </c>
      <c r="M22" s="3" t="s">
        <v>95</v>
      </c>
      <c r="N22" s="3">
        <f>_xlfn.XLOOKUP(M22,Race!B$2:B$5,Race!A$2:A$5,FALSE)</f>
        <v>-1</v>
      </c>
      <c r="O22" s="3">
        <f>_xlfn.XLOOKUP(A22,Status!A:A,Status!B:B,"")</f>
        <v>-1</v>
      </c>
      <c r="P22" s="3">
        <f>_xlfn.XLOOKUP(A22,Status!A:A,Status!C:C,"")</f>
        <v>-1</v>
      </c>
      <c r="Q22" s="3">
        <f>_xlfn.XLOOKUP(A22,Status!A:A,Status!D:D,"")</f>
        <v>-1</v>
      </c>
      <c r="R22" s="3" t="s">
        <v>91</v>
      </c>
      <c r="S22" s="3">
        <f>_xlfn.XLOOKUP(R22,Type!$B$2:$B$20,Type!$A$2:$A$20,"")</f>
        <v>1</v>
      </c>
      <c r="T22" s="3" t="str">
        <f>_xlfn.XLOOKUP(A22,Ability!A:A,Ability!B:B,"")</f>
        <v>カードを2枚引く。(この効果は各ターンに1度しか使えない)</v>
      </c>
    </row>
    <row r="23" spans="1:20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_xlfn.XLOOKUP(G23,Koyaku!B$2:B$9,Koyaku!A$2:A$9,"",FALSE)</f>
        <v>0</v>
      </c>
      <c r="I23" s="3" t="s">
        <v>40</v>
      </c>
      <c r="J23" s="3">
        <f>_xlfn.XLOOKUP(I23,Race!B$2:B$5,Race!A$2:A$5,FALSE)</f>
        <v>1</v>
      </c>
      <c r="K23" s="3" t="s">
        <v>95</v>
      </c>
      <c r="L23" s="3">
        <f>_xlfn.XLOOKUP(K23,Race!B$2:B$5,Race!A$2:A$5,FALSE)</f>
        <v>-1</v>
      </c>
      <c r="M23" s="3" t="s">
        <v>95</v>
      </c>
      <c r="N23" s="3">
        <f>_xlfn.XLOOKUP(M23,Race!B$2:B$5,Race!A$2:A$5,FALSE)</f>
        <v>-1</v>
      </c>
      <c r="O23" s="3">
        <f>_xlfn.XLOOKUP(A23,Status!A:A,Status!B:B,"")</f>
        <v>-1</v>
      </c>
      <c r="P23" s="3">
        <f>_xlfn.XLOOKUP(A23,Status!A:A,Status!C:C,"")</f>
        <v>-1</v>
      </c>
      <c r="Q23" s="3">
        <f>_xlfn.XLOOKUP(A23,Status!A:A,Status!D:D,"")</f>
        <v>-1</v>
      </c>
      <c r="R23" s="3" t="s">
        <v>91</v>
      </c>
      <c r="S23" s="3">
        <f>_xlfn.XLOOKUP(R23,Type!$B$2:$B$20,Type!$A$2:$A$20,"")</f>
        <v>1</v>
      </c>
      <c r="T23" s="3" t="str">
        <f>_xlfn.XLOOKUP(A23,Ability!A:A,Ability!B:B,"")</f>
        <v>相手のすべてのモンスターに2ダメージを与える</v>
      </c>
    </row>
    <row r="24" spans="1:20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6E6FA480-3F73-49E6-A9B4-9ABB5FEEA2C3}">
          <x14:formula1>
            <xm:f>Type!$B$2:$B$3</xm:f>
          </x14:formula1>
          <xm:sqref>R2:R23</xm:sqref>
        </x14:dataValidation>
        <x14:dataValidation type="list" allowBlank="1" showInputMessage="1" showErrorMessage="1" xr:uid="{1B3501F0-A3BC-49B7-9401-98C97ACDC1EF}">
          <x14:formula1>
            <xm:f>Koyaku!$B$3:$B$9</xm:f>
          </x14:formula1>
          <xm:sqref>G3:G23</xm:sqref>
        </x14:dataValidation>
        <x14:dataValidation type="list" allowBlank="1" showInputMessage="1" showErrorMessage="1" xr:uid="{4686C655-AE29-417D-8727-81DB9BE7AC31}">
          <x14:formula1>
            <xm:f>Koyaku!$B$2:$B$9</xm:f>
          </x14:formula1>
          <xm:sqref>G2</xm:sqref>
        </x14:dataValidation>
        <x14:dataValidation type="list" allowBlank="1" showInputMessage="1" showErrorMessage="1" xr:uid="{B52A84D4-369B-4405-B560-372E5EF1A995}">
          <x14:formula1>
            <xm:f>Race!$B$2:$B$5</xm:f>
          </x14:formula1>
          <xm:sqref>I2:I23 K2:K23 M2:M23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8186-81E6-4999-98A8-473762CE4656}">
  <dimension ref="A1:B3"/>
  <sheetViews>
    <sheetView workbookViewId="0">
      <selection activeCell="B4" sqref="B4"/>
    </sheetView>
  </sheetViews>
  <sheetFormatPr defaultRowHeight="18.75" x14ac:dyDescent="0.4"/>
  <cols>
    <col min="2" max="2" width="11" bestFit="1" customWidth="1"/>
  </cols>
  <sheetData>
    <row r="1" spans="1:2" x14ac:dyDescent="0.4">
      <c r="A1" s="2" t="s">
        <v>3</v>
      </c>
      <c r="B1" s="13" t="s">
        <v>87</v>
      </c>
    </row>
    <row r="2" spans="1:2" x14ac:dyDescent="0.4">
      <c r="A2" s="3">
        <v>0</v>
      </c>
      <c r="B2" s="3" t="s">
        <v>90</v>
      </c>
    </row>
    <row r="3" spans="1:2" x14ac:dyDescent="0.4">
      <c r="A3" s="3">
        <v>1</v>
      </c>
      <c r="B3" s="3" t="s">
        <v>92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-1</v>
      </c>
      <c r="B6" s="3" t="s">
        <v>37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C38A-56C9-490E-B529-9128DA20C98A}">
  <dimension ref="A1:B5"/>
  <sheetViews>
    <sheetView workbookViewId="0">
      <selection activeCell="B16" sqref="B16"/>
    </sheetView>
  </sheetViews>
  <sheetFormatPr defaultRowHeight="18.75" x14ac:dyDescent="0.4"/>
  <sheetData>
    <row r="1" spans="1:2" x14ac:dyDescent="0.4">
      <c r="A1" s="2" t="s">
        <v>3</v>
      </c>
      <c r="B1" s="13" t="s">
        <v>99</v>
      </c>
    </row>
    <row r="2" spans="1:2" x14ac:dyDescent="0.4">
      <c r="A2" s="3">
        <v>-1</v>
      </c>
      <c r="B2" s="3" t="s">
        <v>96</v>
      </c>
    </row>
    <row r="3" spans="1:2" x14ac:dyDescent="0.4">
      <c r="A3" s="3">
        <v>1</v>
      </c>
      <c r="B3" s="3" t="s">
        <v>41</v>
      </c>
    </row>
    <row r="4" spans="1:2" x14ac:dyDescent="0.4">
      <c r="A4" s="3">
        <v>2</v>
      </c>
      <c r="B4" s="3" t="s">
        <v>97</v>
      </c>
    </row>
    <row r="5" spans="1:2" x14ac:dyDescent="0.4">
      <c r="A5" s="3">
        <v>3</v>
      </c>
      <c r="B5" s="3" t="s">
        <v>98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0</v>
      </c>
      <c r="B2" s="3" t="s">
        <v>37</v>
      </c>
    </row>
    <row r="3" spans="1:2" x14ac:dyDescent="0.4">
      <c r="A3" s="3">
        <v>1</v>
      </c>
      <c r="B3" s="3" t="s">
        <v>76</v>
      </c>
    </row>
    <row r="4" spans="1:2" x14ac:dyDescent="0.4">
      <c r="A4" s="3">
        <v>2</v>
      </c>
      <c r="B4" s="3" t="s">
        <v>78</v>
      </c>
    </row>
    <row r="5" spans="1:2" x14ac:dyDescent="0.4">
      <c r="A5" s="3">
        <v>3</v>
      </c>
      <c r="B5" s="3" t="s">
        <v>74</v>
      </c>
    </row>
    <row r="6" spans="1:2" x14ac:dyDescent="0.4">
      <c r="A6" s="3">
        <v>4</v>
      </c>
      <c r="B6" s="3" t="s">
        <v>80</v>
      </c>
    </row>
    <row r="7" spans="1:2" x14ac:dyDescent="0.4">
      <c r="A7" s="3">
        <v>5</v>
      </c>
      <c r="B7" s="3" t="s">
        <v>72</v>
      </c>
    </row>
    <row r="8" spans="1:2" x14ac:dyDescent="0.4">
      <c r="A8" s="3">
        <v>6</v>
      </c>
      <c r="B8" s="3" t="s">
        <v>81</v>
      </c>
    </row>
    <row r="9" spans="1:2" x14ac:dyDescent="0.4">
      <c r="A9" s="3">
        <v>7</v>
      </c>
      <c r="B9" s="3" t="s">
        <v>83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Data</vt:lpstr>
      <vt:lpstr>Type</vt:lpstr>
      <vt:lpstr>Name</vt:lpstr>
      <vt:lpstr>Rarity</vt:lpstr>
      <vt:lpstr>Theme</vt:lpstr>
      <vt:lpstr>Ability</vt:lpstr>
      <vt:lpstr>Status</vt:lpstr>
      <vt:lpstr>Race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2026-10-19T07:39:43Z</dcterms:modified>
</cp:coreProperties>
</file>
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4E01DBD7-6DA2-4137-8E23-760714A45DF1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Type" sheetId="8" r:id="rId2"/>
    <sheet name="Name" sheetId="4" r:id="rId3"/>
    <sheet name="Rarity" sheetId="5" r:id="rId4"/>
    <sheet name="Theme" sheetId="6" r:id="rId5"/>
    <sheet name="Ability" sheetId="3" r:id="rId6"/>
    <sheet name="Status" sheetId="2" r:id="rId7"/>
    <sheet name="Koyaku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A23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N2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B3" i="1" s="1"/>
  <c r="N3" i="1" l="1"/>
  <c r="B22" i="1"/>
  <c r="B21" i="1"/>
  <c r="B20" i="1"/>
  <c r="N11" i="1"/>
  <c r="B19" i="1"/>
  <c r="B18" i="1"/>
  <c r="N10" i="1"/>
  <c r="B17" i="1"/>
  <c r="B16" i="1"/>
  <c r="B15" i="1"/>
  <c r="B14" i="1"/>
  <c r="B13" i="1"/>
  <c r="B12" i="1"/>
  <c r="B11" i="1"/>
  <c r="B10" i="1"/>
  <c r="J12" i="1"/>
  <c r="B9" i="1"/>
  <c r="B8" i="1"/>
  <c r="B7" i="1"/>
  <c r="B6" i="1"/>
  <c r="B5" i="1"/>
  <c r="B2" i="1"/>
  <c r="B4" i="1"/>
  <c r="B23" i="1"/>
  <c r="N6" i="1"/>
  <c r="N5" i="1"/>
  <c r="N13" i="1"/>
  <c r="N19" i="1"/>
  <c r="N23" i="1"/>
  <c r="N12" i="1"/>
  <c r="K12" i="1"/>
  <c r="N21" i="1"/>
  <c r="N7" i="1"/>
  <c r="N22" i="1"/>
  <c r="N4" i="1"/>
  <c r="N20" i="1"/>
  <c r="J19" i="1"/>
  <c r="K6" i="1"/>
  <c r="N18" i="1"/>
  <c r="N17" i="1"/>
  <c r="N16" i="1"/>
  <c r="K19" i="1"/>
  <c r="J6" i="1"/>
  <c r="K11" i="1"/>
  <c r="K23" i="1"/>
  <c r="N15" i="1"/>
  <c r="J23" i="1"/>
  <c r="K16" i="1"/>
  <c r="I10" i="1"/>
  <c r="J3" i="1"/>
  <c r="N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N9" i="1"/>
  <c r="J21" i="1"/>
  <c r="K14" i="1"/>
  <c r="I8" i="1"/>
  <c r="J18" i="1"/>
  <c r="K17" i="1"/>
  <c r="I4" i="1"/>
  <c r="K8" i="1"/>
  <c r="N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<sst xmlns="http://schemas.openxmlformats.org/spreadsheetml/2006/main" count="179" uniqueCount="94">
  <si>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</si>
  <si>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</si>
  <si>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</si>
  <si>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</si>
  <si>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</si>
  <si>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</si>
  <si>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</si>
  <si>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</si>
  <si>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</si>
  <si>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</si>
  <si>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</si>
  <si>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</si>
  <si>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</si>
  <si>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</si>
  <si>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</si>
  <si>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</si>
  <si>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</si>
  <si>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</si>
  <si>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</si>
  <si>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</si>
  <si>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</si>
  <si>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</si>
  <si>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</si>
  <si>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</si>
  <si>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</si>
  <si>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</si>
  <si>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</si>
  <si>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</si>
  <si>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</si>
  <si>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</si>
  <si>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</si>
  <si>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</si>
  <si>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</si>
  <si>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</si>
  <si>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</si>
  <si>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</si>
  <si>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</si>
  <si>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</si>
  <si>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</si>
  <si>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</si>
  <si>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</si>
  <si>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</si>
  <si>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</si>
  <si>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</si>
  <si>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</si>
  <si>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</si>
  <si>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</si>
  <si>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</si>
  <si>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</si>
  <si>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</si>
  <si>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</si>
  <si>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</si>
  <si>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</si>
  <si>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</si>
  <si>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</si>
  <si>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</si>
  <si>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</si>
  <si>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</si>
  <si>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</si>
  <si>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</si>
  <si>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</si>
  <si>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</si>
  <si>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</si>
  <si>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</si>
  <si>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</si>
  <si>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</si>
  <si>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</si>
  <si>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</si>
  <si>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</si>
  <si>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</si>
  <si>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</si>
  <si>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</si>
  <si>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</si>
  <si>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</si>
  <si>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</si>
  <si>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</si>
  <si>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</si>
  <si>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</si>
  <si>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</si>
  <si>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</si>
  <si>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</si>
  <si>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</si>
  <si>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</si>
  <si>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</si>
  <si>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</si>
  <si>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name</t>
    <phoneticPr fontId="2"/>
  </si>
  <si>
    <t>ability</t>
    <phoneticPr fontId="2"/>
  </si>
  <si>
    <t>Type</t>
    <phoneticPr fontId="2"/>
  </si>
  <si>
    <t>カードタイプ</t>
    <phoneticPr fontId="2"/>
  </si>
  <si>
    <t>モンスター</t>
  </si>
  <si>
    <t>モンスター</t>
    <phoneticPr fontId="2"/>
  </si>
  <si>
    <t>スペル</t>
  </si>
  <si>
    <t>スペル</t>
    <phoneticPr fontId="2"/>
  </si>
  <si>
    <t>suportRoleID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</si>
</sst>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N30"/>
  <sheetViews>
    <sheetView tabSelected="1" workbookViewId="0">
      <selection activeCell="H1" sqref="H1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12.875" bestFit="1" customWidth="1"/>
    <col min="12" max="12" width="12.875" bestFit="1" customWidth="1"/>
    <col min="13" max="13" width="5.625" bestFit="1" customWidth="1"/>
    <col min="14" max="14" width="205.75" bestFit="1" customWidth="1"/>
  </cols>
  <sheetData>
    <row r="1" spans="1:14" x14ac:dyDescent="0.4">
      <c r="A1" s="1" t="s">
        <v>2</v>
      </c>
      <c r="B1" s="4" t="s">
        <v>85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93</v>
      </c>
      <c r="I1" s="2" t="s">
        <v>46</v>
      </c>
      <c r="J1" s="2" t="s">
        <v>45</v>
      </c>
      <c r="K1" s="2" t="s">
        <v>44</v>
      </c>
      <c r="L1" s="14" t="s">
        <v>88</v>
      </c>
      <c r="M1" s="2" t="s">
        <v>87</v>
      </c>
      <c r="N1" s="2" t="s">
        <v>86</v>
      </c>
    </row>
    <row r="2" spans="1:14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_xlfn.XLOOKUP(G2,Koyaku!$B$2:$B$20,Koyaku!$A$2:$A$20,"")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">
        <v>89</v>
      </c>
      <c r="M2" s="3">
        <f>_xlfn.XLOOKUP(L2,Type!$B$2:$B$20,Type!$A$2:$A$20,"")</f>
        <v>0</v>
      </c>
      <c r="N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4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-1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_xlfn.XLOOKUP(G3,Koyaku!$B$2:$B$20,Koyaku!$A$2:$A$20,"")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">
        <v>89</v>
      </c>
      <c r="M3" s="3">
        <f>_xlfn.XLOOKUP(L3,Type!$B$2:$B$20,Type!$A$2:$A$20,"")</f>
        <v>0</v>
      </c>
      <c r="N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4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-1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_xlfn.XLOOKUP(G4,Koyaku!$B$2:$B$20,Koyaku!$A$2:$A$20,"")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">
        <v>89</v>
      </c>
      <c r="M4" s="3">
        <f>_xlfn.XLOOKUP(L4,Type!$B$2:$B$20,Type!$A$2:$A$20,"")</f>
        <v>0</v>
      </c>
      <c r="N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4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_xlfn.XLOOKUP(G5,Koyaku!$B$2:$B$20,Koyaku!$A$2:$A$20,"")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">
        <v>89</v>
      </c>
      <c r="M5" s="3">
        <f>_xlfn.XLOOKUP(L5,Type!$B$2:$B$20,Type!$A$2:$A$20,"")</f>
        <v>0</v>
      </c>
      <c r="N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4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-1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_xlfn.XLOOKUP(G6,Koyaku!$B$2:$B$20,Koyaku!$A$2:$A$20,"")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">
        <v>89</v>
      </c>
      <c r="M6" s="3">
        <f>_xlfn.XLOOKUP(L6,Type!$B$2:$B$20,Type!$A$2:$A$20,"")</f>
        <v>0</v>
      </c>
      <c r="N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4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-1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_xlfn.XLOOKUP(G7,Koyaku!$B$2:$B$20,Koyaku!$A$2:$A$20,"")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">
        <v>89</v>
      </c>
      <c r="M7" s="3">
        <f>_xlfn.XLOOKUP(L7,Type!$B$2:$B$20,Type!$A$2:$A$20,"")</f>
        <v>0</v>
      </c>
      <c r="N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4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_xlfn.XLOOKUP(G8,Koyaku!$B$2:$B$20,Koyaku!$A$2:$A$20,"")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">
        <v>89</v>
      </c>
      <c r="M8" s="3">
        <f>_xlfn.XLOOKUP(L8,Type!$B$2:$B$20,Type!$A$2:$A$20,"")</f>
        <v>0</v>
      </c>
      <c r="N8" s="3" t="str">
        <f>_xlfn.XLOOKUP(A8,Ability!A:A,Ability!B:B,"")</f>
        <v>①ターゲット集中</v>
      </c>
    </row>
    <row r="9" spans="1:14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_xlfn.XLOOKUP(G9,Koyaku!$B$2:$B$20,Koyaku!$A$2:$A$20,"")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">
        <v>89</v>
      </c>
      <c r="M9" s="3">
        <f>_xlfn.XLOOKUP(L9,Type!$B$2:$B$20,Type!$A$2:$A$20,"")</f>
        <v>0</v>
      </c>
      <c r="N9" s="3" t="str">
        <f>_xlfn.XLOOKUP(A9,Ability!A:A,Ability!B:B,"")</f>
        <v>①召喚時ランダムな敵に2ダメージ
②アスリート</v>
      </c>
    </row>
    <row r="10" spans="1:14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_xlfn.XLOOKUP(G10,Koyaku!$B$2:$B$20,Koyaku!$A$2:$A$20,"")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">
        <v>89</v>
      </c>
      <c r="M10" s="3">
        <f>_xlfn.XLOOKUP(L10,Type!$B$2:$B$20,Type!$A$2:$A$20,"")</f>
        <v>0</v>
      </c>
      <c r="N10" s="3" t="str">
        <f>_xlfn.XLOOKUP(A10,Ability!A:A,Ability!B:B,"")</f>
        <v>①ターン終了時、カードを1枚引く。</v>
      </c>
    </row>
    <row r="11" spans="1:14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_xlfn.XLOOKUP(G11,Koyaku!$B$2:$B$20,Koyaku!$A$2:$A$20,"")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">
        <v>89</v>
      </c>
      <c r="M11" s="3">
        <f>_xlfn.XLOOKUP(L11,Type!$B$2:$B$20,Type!$A$2:$A$20,"")</f>
        <v>0</v>
      </c>
      <c r="N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4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-1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_xlfn.XLOOKUP(G12,Koyaku!$B$2:$B$20,Koyaku!$A$2:$A$20,"")</f>
        <v>8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">
        <v>89</v>
      </c>
      <c r="M12" s="3">
        <f>_xlfn.XLOOKUP(L12,Type!$B$2:$B$20,Type!$A$2:$A$20,"")</f>
        <v>0</v>
      </c>
      <c r="N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4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-1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_xlfn.XLOOKUP(G13,Koyaku!$B$2:$B$20,Koyaku!$A$2:$A$20,"")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">
        <v>89</v>
      </c>
      <c r="M13" s="3">
        <f>_xlfn.XLOOKUP(L13,Type!$B$2:$B$20,Type!$A$2:$A$20,"")</f>
        <v>0</v>
      </c>
      <c r="N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4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_xlfn.XLOOKUP(G14,Koyaku!$B$2:$B$20,Koyaku!$A$2:$A$20,"")</f>
        <v>7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">
        <v>91</v>
      </c>
      <c r="M14" s="3">
        <f>_xlfn.XLOOKUP(L14,Type!$B$2:$B$20,Type!$A$2:$A$20,"")</f>
        <v>1</v>
      </c>
      <c r="N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4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_xlfn.XLOOKUP(G15,Koyaku!$B$2:$B$20,Koyaku!$A$2:$A$20,"")</f>
        <v>7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">
        <v>91</v>
      </c>
      <c r="M15" s="3">
        <f>_xlfn.XLOOKUP(L15,Type!$B$2:$B$20,Type!$A$2:$A$20,"")</f>
        <v>1</v>
      </c>
      <c r="N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4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_xlfn.XLOOKUP(G16,Koyaku!$B$2:$B$20,Koyaku!$A$2:$A$20,"")</f>
        <v>7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">
        <v>91</v>
      </c>
      <c r="M16" s="3">
        <f>_xlfn.XLOOKUP(L16,Type!$B$2:$B$20,Type!$A$2:$A$20,"")</f>
        <v>1</v>
      </c>
      <c r="N16" s="3" t="str">
        <f>_xlfn.XLOOKUP(A16,Ability!A:A,Ability!B:B,"")</f>
        <v>次の自分のターンまでモンスター1体に「ターゲット集中」を与える。</v>
      </c>
    </row>
    <row r="17" spans="1:14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_xlfn.XLOOKUP(G17,Koyaku!$B$2:$B$20,Koyaku!$A$2:$A$20,"")</f>
        <v>7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">
        <v>91</v>
      </c>
      <c r="M17" s="3">
        <f>_xlfn.XLOOKUP(L17,Type!$B$2:$B$20,Type!$A$2:$A$20,"")</f>
        <v>1</v>
      </c>
      <c r="N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4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_xlfn.XLOOKUP(G18,Koyaku!$B$2:$B$20,Koyaku!$A$2:$A$20,"")</f>
        <v>7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">
        <v>91</v>
      </c>
      <c r="M18" s="3">
        <f>_xlfn.XLOOKUP(L18,Type!$B$2:$B$20,Type!$A$2:$A$20,"")</f>
        <v>1</v>
      </c>
      <c r="N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4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_xlfn.XLOOKUP(G19,Koyaku!$B$2:$B$20,Koyaku!$A$2:$A$20,"")</f>
        <v>7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">
        <v>91</v>
      </c>
      <c r="M19" s="3">
        <f>_xlfn.XLOOKUP(L19,Type!$B$2:$B$20,Type!$A$2:$A$20,"")</f>
        <v>1</v>
      </c>
      <c r="N19" s="3" t="str">
        <f>_xlfn.XLOOKUP(A19,Ability!A:A,Ability!B:B,"")</f>
        <v>「RG」を名称に含むモンスターのレベルを上げる。</v>
      </c>
    </row>
    <row r="20" spans="1:14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_xlfn.XLOOKUP(G20,Koyaku!$B$2:$B$20,Koyaku!$A$2:$A$20,"")</f>
        <v>7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">
        <v>91</v>
      </c>
      <c r="M20" s="3">
        <f>_xlfn.XLOOKUP(L20,Type!$B$2:$B$20,Type!$A$2:$A$20,"")</f>
        <v>1</v>
      </c>
      <c r="N20" s="3" t="str">
        <f>_xlfn.XLOOKUP(A20,Ability!A:A,Ability!B:B,"")</f>
        <v>自分のモンスターを1体選ぶ。そのモンスターは次の自分のターンまで、受けるダメージを-2する。</v>
      </c>
    </row>
    <row r="21" spans="1:14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_xlfn.XLOOKUP(G21,Koyaku!$B$2:$B$20,Koyaku!$A$2:$A$20,"")</f>
        <v>7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">
        <v>91</v>
      </c>
      <c r="M21" s="3">
        <f>_xlfn.XLOOKUP(L21,Type!$B$2:$B$20,Type!$A$2:$A$20,"")</f>
        <v>1</v>
      </c>
      <c r="N21" s="3" t="str">
        <f>_xlfn.XLOOKUP(A21,Ability!A:A,Ability!B:B,"")</f>
        <v>墓地からatk4以下のモンスターを出す</v>
      </c>
    </row>
    <row r="22" spans="1:14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_xlfn.XLOOKUP(G22,Koyaku!$B$2:$B$20,Koyaku!$A$2:$A$20,"")</f>
        <v>7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">
        <v>91</v>
      </c>
      <c r="M22" s="3">
        <f>_xlfn.XLOOKUP(L22,Type!$B$2:$B$20,Type!$A$2:$A$20,"")</f>
        <v>1</v>
      </c>
      <c r="N22" s="3" t="str">
        <f>_xlfn.XLOOKUP(A22,Ability!A:A,Ability!B:B,"")</f>
        <v>カードを2枚引く。(この効果は各ターンに1度しか使えない)</v>
      </c>
    </row>
    <row r="23" spans="1:14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_xlfn.XLOOKUP(G23,Koyaku!$B$2:$B$20,Koyaku!$A$2:$A$20,"")</f>
        <v>7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">
        <v>91</v>
      </c>
      <c r="M23" s="3">
        <f>_xlfn.XLOOKUP(L23,Type!$B$2:$B$20,Type!$A$2:$A$20,"")</f>
        <v>1</v>
      </c>
      <c r="N23" s="3" t="str">
        <f>_xlfn.XLOOKUP(A23,Ability!A:A,Ability!B:B,"")</f>
        <v>相手のすべてのモンスターに2ダメージを与える</v>
      </c>
    </row>
    <row r="24" spans="1:14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  <c r="M24" s="3"/>
      <c r="N24" s="3"/>
    </row>
    <row r="25" spans="1:14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  <c r="M25" s="3"/>
      <c r="N25" s="3"/>
    </row>
    <row r="26" spans="1:14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  <c r="M26" s="3"/>
      <c r="N26" s="3"/>
    </row>
    <row r="27" spans="1:14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  <c r="M27" s="3"/>
      <c r="N27" s="3"/>
    </row>
    <row r="28" spans="1:14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  <c r="M28" s="3"/>
      <c r="N28" s="3"/>
    </row>
    <row r="29" spans="1:14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  <c r="M29" s="3"/>
      <c r="N29" s="3"/>
    </row>
    <row r="30" spans="1:14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  <c r="M30" s="3"/>
      <c r="N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1B3501F0-A3BC-49B7-9401-98C97ACDC1EF}">
          <x14:formula1>
            <xm:f>Koyaku!$B$2:$B$9</xm:f>
          </x14:formula1>
          <xm:sqref>G2:G23</xm:sqref>
        </x14:dataValidation>
        <x14:dataValidation type="list" allowBlank="1" showInputMessage="1" showErrorMessage="1" xr:uid="{6E6FA480-3F73-49E6-A9B4-9ABB5FEEA2C3}">
          <x14:formula1>
            <xm:f>Type!$B$2:$B$3</xm:f>
          </x14:formula1>
          <xm:sqref>L2:L23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A8186-81E6-4999-98A8-473762CE4656}">
  <dimension ref="A1:B3"/>
  <sheetViews>
    <sheetView workbookViewId="0">
      <selection activeCell="B4" sqref="B4"/>
    </sheetView>
  </sheetViews>
  <sheetFormatPr defaultRowHeight="18.75" x14ac:dyDescent="0.4"/>
  <cols>
    <col min="2" max="2" width="11" bestFit="1" customWidth="1"/>
  </cols>
  <sheetData>
    <row r="1" spans="1:2" x14ac:dyDescent="0.4">
      <c r="A1" s="2" t="s">
        <v>3</v>
      </c>
      <c r="B1" s="13" t="s">
        <v>87</v>
      </c>
    </row>
    <row r="2" spans="1:2" x14ac:dyDescent="0.4">
      <c r="A2" s="3">
        <v>0</v>
      </c>
      <c r="B2" s="3" t="s">
        <v>90</v>
      </c>
    </row>
    <row r="3" spans="1:2" x14ac:dyDescent="0.4">
      <c r="A3" s="3">
        <v>1</v>
      </c>
      <c r="B3" s="3" t="s">
        <v>92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C11" sqref="C11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-1</v>
      </c>
      <c r="B6" s="3" t="s">
        <v>37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1</v>
      </c>
      <c r="B2" s="3" t="s">
        <v>76</v>
      </c>
    </row>
    <row r="3" spans="1:2" x14ac:dyDescent="0.4">
      <c r="A3" s="3">
        <v>2</v>
      </c>
      <c r="B3" s="3" t="s">
        <v>78</v>
      </c>
    </row>
    <row r="4" spans="1:2" x14ac:dyDescent="0.4">
      <c r="A4" s="3">
        <v>3</v>
      </c>
      <c r="B4" s="3" t="s">
        <v>74</v>
      </c>
    </row>
    <row r="5" spans="1:2" x14ac:dyDescent="0.4">
      <c r="A5" s="3">
        <v>4</v>
      </c>
      <c r="B5" s="3" t="s">
        <v>80</v>
      </c>
    </row>
    <row r="6" spans="1:2" x14ac:dyDescent="0.4">
      <c r="A6" s="3">
        <v>5</v>
      </c>
      <c r="B6" s="3" t="s">
        <v>72</v>
      </c>
    </row>
    <row r="7" spans="1:2" x14ac:dyDescent="0.4">
      <c r="A7" s="3">
        <v>6</v>
      </c>
      <c r="B7" s="3" t="s">
        <v>81</v>
      </c>
    </row>
    <row r="8" spans="1:2" x14ac:dyDescent="0.4">
      <c r="A8" s="3">
        <v>7</v>
      </c>
      <c r="B8" s="3" t="s">
        <v>37</v>
      </c>
    </row>
    <row r="9" spans="1:2" x14ac:dyDescent="0.4">
      <c r="A9" s="3">
        <v>8</v>
      </c>
      <c r="B9" s="3" t="s">
        <v>83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Data</vt:lpstr>
      <vt:lpstr>Type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2026-10-15T04:55:27Z</dcterms:modified>
</cp:coreProperties>
</file>